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" sheetId="1" state="visible" r:id="rId3"/>
  </sheets>
  <definedNames>
    <definedName function="false" hidden="true" localSheetId="0" name="_xlnm._FilterDatabase" vbProcedure="false">'Test Plan'!$A$5:$O$35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<sst xmlns="http://schemas.openxmlformats.org/spreadsheetml/2006/main" count="373" uniqueCount="231">
  <si>
    <t xml:space="preserve">vLLM Optima - test plan (Tesla T4, vLLM 0.31.0)</t>
  </si>
  <si>
    <t xml:space="preserve">How to use: run each test in the app with the inputs in columns D-G (G = press 'Optimize for this GPU' after it works). Fill in only the yellow columns: Status (pick from the list), Actual result / notes, Screenshot file and Date tested. Empty settings = beginner mode. 'Previous result' shows what happened on Oct 8-9.</t>
  </si>
  <si>
    <t xml:space="preserve">Total tests</t>
  </si>
  <si>
    <t xml:space="preserve">Passed</t>
  </si>
  <si>
    <t xml:space="preserve">Failed</t>
  </si>
  <si>
    <t xml:space="preserve">Not run yet</t>
  </si>
  <si>
    <t xml:space="preserve">#</t>
  </si>
  <si>
    <t xml:space="preserve">Group</t>
  </si>
  <si>
    <t xml:space="preserve">Scenario</t>
  </si>
  <si>
    <t xml:space="preserve">Hugging Face model</t>
  </si>
  <si>
    <t xml:space="preserve">Expert settings (JSON)</t>
  </si>
  <si>
    <t xml:space="preserve">Context to try first</t>
  </si>
  <si>
    <t xml:space="preserve">Search-first checkbox</t>
  </si>
  <si>
    <t xml:space="preserve">Then press Optimize?</t>
  </si>
  <si>
    <t xml:space="preserve">What it checks</t>
  </si>
  <si>
    <t xml:space="preserve">Expected result</t>
  </si>
  <si>
    <t xml:space="preserve">Previous result (Oct 8-9)</t>
  </si>
  <si>
    <t xml:space="preserve">Status</t>
  </si>
  <si>
    <t xml:space="preserve">Actual result / notes</t>
  </si>
  <si>
    <t xml:space="preserve">Recording file</t>
  </si>
  <si>
    <t xml:space="preserve">Date tested</t>
  </si>
  <si>
    <t xml:space="preserve">Core</t>
  </si>
  <si>
    <t xml:space="preserve">Small model, beginner mode</t>
  </si>
  <si>
    <t xml:space="preserve">Qwen/Qwen2.5-0.5B-Instruct</t>
  </si>
  <si>
    <t xml:space="preserve">Off</t>
  </si>
  <si>
    <t xml:space="preserve">No</t>
  </si>
  <si>
    <t xml:space="preserve">Default path + display</t>
  </si>
  <si>
    <t xml:space="preserve">Works first time, ~5,500 tok/s. Six metric cards in one row; boxed settings table.</t>
  </si>
  <si>
    <t xml:space="preserve">Passed Oct 8 &amp; 9: 5,502 tok/s</t>
  </si>
  <si>
    <t xml:space="preserve">Pass</t>
  </si>
  <si>
    <t xml:space="preserve">Works first time: 5,349 tok/s, 5.8 ms/token, 32k context.</t>
  </si>
  <si>
    <t xml:space="preserve">recordings/T01_small_model.json</t>
  </si>
  <si>
    <t xml:space="preserve">7B model, too big for a T4</t>
  </si>
  <si>
    <t xml:space="preserve">Qwen/Qwen2.5-7B-Instruct</t>
  </si>
  <si>
    <t xml:space="preserve">Size check + model switch</t>
  </si>
  <si>
    <t xml:space="preserve">Download skipped (15.2 GB &gt; 15 GB); Lightning switches to Qwen2.5-7B-Instruct-AWQ; works. No web search.</t>
  </si>
  <si>
    <t xml:space="preserve">Passed Oct 8: AWQ, 939 tok/s, 4/4</t>
  </si>
  <si>
    <t xml:space="preserve">Switched to Qwen2.5-7B-Instruct-AWQ; 883 tok/s, 4/4, 32k context. No web search.</t>
  </si>
  <si>
    <t xml:space="preserve">recordings/T02_7b_too_big.json</t>
  </si>
  <si>
    <t xml:space="preserve">32B model on a 15 GB GPU</t>
  </si>
  <si>
    <t xml:space="preserve">Qwen/Qwen2.5-32B-Instruct</t>
  </si>
  <si>
    <t xml:space="preserve">Honest 'cannot run'</t>
  </si>
  <si>
    <t xml:space="preserve">AWQ also too big (19.3 GB); 'no working configuration found'; next steps use measured sizes. Nothing downloaded.</t>
  </si>
  <si>
    <t xml:space="preserve">Passed Oct 8: 20 s</t>
  </si>
  <si>
    <t xml:space="preserve">Honest 'no working configuration' (65.5 GB &gt; 15 GB); nothing downloaded.</t>
  </si>
  <si>
    <t xml:space="preserve">recordings/T03_32b_cannot_run.json</t>
  </si>
  <si>
    <t xml:space="preserve">FP8 KV cache on a T4</t>
  </si>
  <si>
    <t xml:space="preserve">{"kv_cache_dtype": "fp8", "max_num_seqs": 128}</t>
  </si>
  <si>
    <t xml:space="preserve">Expert mode: change only what's broken</t>
  </si>
  <si>
    <t xml:space="preserve">fp8 -&gt; auto/float16; max_num_seqs 128 kept. No web search.</t>
  </si>
  <si>
    <t xml:space="preserve">Passed Oct 8 &amp; 9</t>
  </si>
  <si>
    <t xml:space="preserve">fp8 -&gt; float16, max_num_seqs 128 kept; 5,134 tok/s. (Optimize also tried: kept.)</t>
  </si>
  <si>
    <t xml:space="preserve">recordings/T04_fp8_kv_cache.json</t>
  </si>
  <si>
    <t xml:space="preserve">BF16 on a T4</t>
  </si>
  <si>
    <t xml:space="preserve">{"dtype": "bfloat16", "max_num_seqs": 128}</t>
  </si>
  <si>
    <t xml:space="preserve">bfloat16 -&gt; half; max_num_seqs 128 kept. No web search.</t>
  </si>
  <si>
    <t xml:space="preserve">Passed Oct 8: 5,543 tok/s</t>
  </si>
  <si>
    <t xml:space="preserve">bfloat16 -&gt; half, max_num_seqs kept; 5,109 tok/s.</t>
  </si>
  <si>
    <t xml:space="preserve">recordings/T05_bf16.json</t>
  </si>
  <si>
    <t xml:space="preserve">dtype auto (already valid)</t>
  </si>
  <si>
    <t xml:space="preserve">{"dtype": "auto", "max_num_seqs": 128}</t>
  </si>
  <si>
    <t xml:space="preserve">No unnecessary changes</t>
  </si>
  <si>
    <t xml:space="preserve">Works first time; settings kept; no Nemotron call.</t>
  </si>
  <si>
    <t xml:space="preserve">Passed Oct 8: 5,217 tok/s</t>
  </si>
  <si>
    <t xml:space="preserve">Works first time; settings kept; 5,119 tok/s.</t>
  </si>
  <si>
    <t xml:space="preserve">recordings/T06_dtype_auto.json</t>
  </si>
  <si>
    <t xml:space="preserve">dtype half (already valid)</t>
  </si>
  <si>
    <t xml:space="preserve">{"dtype": "half", "max_num_seqs": 128}</t>
  </si>
  <si>
    <t xml:space="preserve">Passed Oct 8</t>
  </si>
  <si>
    <t xml:space="preserve">Works first time; settings kept; 5,298 tok/s.</t>
  </si>
  <si>
    <t xml:space="preserve">recordings/T07_dtype_half.json</t>
  </si>
  <si>
    <t xml:space="preserve">Config copied from an H100 (3 problems)</t>
  </si>
  <si>
    <t xml:space="preserve">{"dtype": "bfloat16", "kv_cache_dtype": "fp8", "tensor_parallel_size": 2}</t>
  </si>
  <si>
    <t xml:space="preserve">Several fixes in one go</t>
  </si>
  <si>
    <t xml:space="preserve">All three fixed together: half, auto, tensor_parallel_size 1. Works after 1 failure.</t>
  </si>
  <si>
    <t xml:space="preserve">Passed Oct 8: 5,455 tok/s</t>
  </si>
  <si>
    <t xml:space="preserve">All 3 fixed (this time in 2 steps: TP first, then dtype+KV); 5,292 tok/s. Optimize: second opinion -&gt; kept.</t>
  </si>
  <si>
    <t xml:space="preserve">recordings/T08_h100_config.json</t>
  </si>
  <si>
    <t xml:space="preserve">Cryptic compiler crash</t>
  </si>
  <si>
    <t xml:space="preserve">{"compilation_config": {"backend": "does_not_exist"}}</t>
  </si>
  <si>
    <t xml:space="preserve">Unknown error fixed</t>
  </si>
  <si>
    <t xml:space="preserve">Backend removed or set to eager; works. Clean error text; no '**{}' in inference.py.</t>
  </si>
  <si>
    <t xml:space="preserve">Backend set to inductor; works, 5,374 tok/s. (Searched first: checkbox was on.)</t>
  </si>
  <si>
    <t xml:space="preserve">recordings/T09_compiler_crash.json</t>
  </si>
  <si>
    <t xml:space="preserve">Phi-3.5 asking for 32k context</t>
  </si>
  <si>
    <t xml:space="preserve">microsoft/Phi-3.5-mini-instruct</t>
  </si>
  <si>
    <t xml:space="preserve">32768</t>
  </si>
  <si>
    <t xml:space="preserve">Context refinement, Ultra takes over</t>
  </si>
  <si>
    <t xml:space="preserve">Lightning reduces context, Ultra refines; works with the largest context that fits (~13,000-14,000).</t>
  </si>
  <si>
    <t xml:space="preserve">Passed Oct 8: 13,000 tokens</t>
  </si>
  <si>
    <t xml:space="preserve">Works at 8,192 tokens (safe, not the largest). Optimizer later raised it to 12,000 (test 22).</t>
  </si>
  <si>
    <t xml:space="preserve">recordings/T10_phi35_32k.json</t>
  </si>
  <si>
    <t xml:space="preserve">Another model family</t>
  </si>
  <si>
    <t xml:space="preserve">HuggingFaceTB/SmolLM2-1.7B-Instruct</t>
  </si>
  <si>
    <t xml:space="preserve">Generalises beyond Qwen</t>
  </si>
  <si>
    <t xml:space="preserve">Works first time; 8,192-token context.</t>
  </si>
  <si>
    <t xml:space="preserve">Passed Oct 8: 1,085 tok/s</t>
  </si>
  <si>
    <t xml:space="preserve">Works first time; 1,038 tok/s; 8,192-token context.</t>
  </si>
  <si>
    <t xml:space="preserve">recordings/T11_smollm2.json</t>
  </si>
  <si>
    <t xml:space="preserve">Over-aggressive memory settings</t>
  </si>
  <si>
    <t xml:space="preserve">{"gpu_memory_utilization": 0.98, "max_num_seqs": 1024}</t>
  </si>
  <si>
    <t xml:space="preserve">Out-of-memory fix</t>
  </si>
  <si>
    <t xml:space="preserve">OOM fixed; works. Fix may be over-cautious (low throughput) - see test 21.</t>
  </si>
  <si>
    <t xml:space="preserve">Passed Oct 8: 1,245 tok/s (over-cautious)</t>
  </si>
  <si>
    <t xml:space="preserve">OOM fixed (0.8 memory, 128 seqs); 5,325 tok/s - not over-cautious this time.</t>
  </si>
  <si>
    <t xml:space="preserve">recordings/T12_out_of_memory.json</t>
  </si>
  <si>
    <t xml:space="preserve">Wrong quantization (control)</t>
  </si>
  <si>
    <t xml:space="preserve">{"quantization": "gptq"}</t>
  </si>
  <si>
    <t xml:space="preserve">Fix without web search</t>
  </si>
  <si>
    <t xml:space="preserve">quantization removed; works; no web search step.</t>
  </si>
  <si>
    <t xml:space="preserve">Passed Oct 8: 5,533 tok/s</t>
  </si>
  <si>
    <t xml:space="preserve">quantization removed; 5,335 tok/s; no web search.</t>
  </si>
  <si>
    <t xml:space="preserve">recordings/T13_wrong_quantization.json</t>
  </si>
  <si>
    <t xml:space="preserve">Web search</t>
  </si>
  <si>
    <t xml:space="preserve">No chat template (GPT-2)</t>
  </si>
  <si>
    <t xml:space="preserve">openai-community/gpt2</t>
  </si>
  <si>
    <t xml:space="preserve">Web search + honest answer</t>
  </si>
  <si>
    <t xml:space="preserve">Web search with relevant vLLM issues; 'no working configuration found' with a cited source.</t>
  </si>
  <si>
    <t xml:space="preserve">Passed Oct 8 &amp; 9 (source: vLLM issue #39279)</t>
  </si>
  <si>
    <t xml:space="preserve">1 vLLM run; web search; honest 'no working configuration'.</t>
  </si>
  <si>
    <t xml:space="preserve">recordings/T14_gpt2_no_chat_template.json</t>
  </si>
  <si>
    <t xml:space="preserve">Model needs custom code</t>
  </si>
  <si>
    <t xml:space="preserve">internlm/internlm2_5-1_8b-chat</t>
  </si>
  <si>
    <t xml:space="preserve">Safety: never enables trust_remote_code</t>
  </si>
  <si>
    <t xml:space="preserve">1 vLLM run; web check before giving up; advises adding trust_remote_code yourself; model card cited.</t>
  </si>
  <si>
    <t xml:space="preserve">Passed Oct 8: 33 s</t>
  </si>
  <si>
    <t xml:space="preserve">1 run; web check; give-up advising trust_remote_code; source: vLLM issue #26161.</t>
  </si>
  <si>
    <t xml:space="preserve">recordings/T15_custom_code_stops.json</t>
  </si>
  <si>
    <t xml:space="preserve">Custom code, enabled by the user</t>
  </si>
  <si>
    <t xml:space="preserve">{"trust_remote_code": true}</t>
  </si>
  <si>
    <t xml:space="preserve">User can override safely</t>
  </si>
  <si>
    <t xml:space="preserve">Works, because the user enabled trust_remote_code themselves.</t>
  </si>
  <si>
    <t xml:space="preserve">Works when the user enables it: 1,684 tok/s, 4/4, 65,536-token context.</t>
  </si>
  <si>
    <t xml:space="preserve">recordings/T16_custom_code_user.json</t>
  </si>
  <si>
    <t xml:space="preserve">Removed vLLM setting</t>
  </si>
  <si>
    <t xml:space="preserve">{"max_seq_len_to_capture": 8192}</t>
  </si>
  <si>
    <t xml:space="preserve">Setting removed on the first try; works; no web search.</t>
  </si>
  <si>
    <t xml:space="preserve">Passed Oct 8: 5,261 tok/s</t>
  </si>
  <si>
    <t xml:space="preserve">Setting removed on the first try; 5,402 tok/s; no web search.</t>
  </si>
  <si>
    <t xml:space="preserve">recordings/T17_removed_setting.json</t>
  </si>
  <si>
    <t xml:space="preserve">Removed setting, search first (rename lessons.json first)</t>
  </si>
  <si>
    <t xml:space="preserve">On</t>
  </si>
  <si>
    <t xml:space="preserve">Checkbox: search on the first failure</t>
  </si>
  <si>
    <t xml:space="preserve">Web search step BEFORE 'Asking Nemotron'; weak results are not cited as source; works.</t>
  </si>
  <si>
    <t xml:space="preserve">Passed Oct 8: 5,510 tok/s</t>
  </si>
  <si>
    <t xml:space="preserve">No search: the lesson from test 17 was recognised (lessons.json not renamed). Search-first itself passed Oct 8.</t>
  </si>
  <si>
    <t xml:space="preserve">recordings/T18_lesson_reused.json</t>
  </si>
  <si>
    <t xml:space="preserve">Gated model (Llama)</t>
  </si>
  <si>
    <t xml:space="preserve">meta-llama/Llama-3.2-1B-Instruct</t>
  </si>
  <si>
    <t xml:space="preserve">No wasted rerun + access steps</t>
  </si>
  <si>
    <t xml:space="preserve">1 vLLM run; web check; give-up with steps: request access, create token, use it.</t>
  </si>
  <si>
    <t xml:space="preserve">Passed Oct 9: 35 s</t>
  </si>
  <si>
    <t xml:space="preserve">1 vLLM run; web check; access steps; source: huggingface_hub issue #2586.</t>
  </si>
  <si>
    <t xml:space="preserve">recordings/T19_gated_llama.json</t>
  </si>
  <si>
    <t xml:space="preserve">Fixes</t>
  </si>
  <si>
    <t xml:space="preserve">Lessons remembered (run test 9 twice)</t>
  </si>
  <si>
    <t xml:space="preserve">On (2nd run)</t>
  </si>
  <si>
    <t xml:space="preserve">Lesson matches despite new process id/time</t>
  </si>
  <si>
    <t xml:space="preserve">2nd run: NO web search step, even with the checkbox on.</t>
  </si>
  <si>
    <t xml:space="preserve">Passed Oct 9</t>
  </si>
  <si>
    <t xml:space="preserve">2nd compiler-crash run: no web search - lesson recognised; 5,501 tok/s.</t>
  </si>
  <si>
    <t xml:space="preserve">recordings/T20_lesson_compiler.json</t>
  </si>
  <si>
    <t xml:space="preserve">Optimizer</t>
  </si>
  <si>
    <t xml:space="preserve">Optimize an over-cautious fix</t>
  </si>
  <si>
    <t xml:space="preserve">Yes</t>
  </si>
  <si>
    <t xml:space="preserve">Optimize after the agent's own fix</t>
  </si>
  <si>
    <t xml:space="preserve">Depends on the fix: if it was over-cautious, a verified gain; if it is already fast, 'Working config kept' with a reason.</t>
  </si>
  <si>
    <t xml:space="preserve">Passed Oct 9: fix gave 64 seqs (5,453 tok/s) -&gt; kept, correct</t>
  </si>
  <si>
    <t xml:space="preserve">Fix was already fast (5,431 tok/s). Tried 0.9/256 and bigger batches: both slower -&gt; kept.</t>
  </si>
  <si>
    <t xml:space="preserve">recordings/T21_opt_oom_fix_kept.json</t>
  </si>
  <si>
    <t xml:space="preserve">Optimize a context-limited run</t>
  </si>
  <si>
    <t xml:space="preserve">Optimize when KV cache is full</t>
  </si>
  <si>
    <t xml:space="preserve">'Working config kept' (context already at the KV-cache limit), or more context if the fix left room.</t>
  </si>
  <si>
    <t xml:space="preserve">Passed Oct 9: 14,000 of 14,176 tokens -&gt; kept, correct</t>
  </si>
  <si>
    <t xml:space="preserve">Context-only gain verified: 8,192 -&gt; 12,000 tokens at the same speed (Lightning: second opinion -&gt; Ultra).</t>
  </si>
  <si>
    <t xml:space="preserve">recordings/T22_opt_phi_context.json</t>
  </si>
  <si>
    <t xml:space="preserve">Optimize a run that is already fast</t>
  </si>
  <si>
    <t xml:space="preserve">Honest 'no gain'</t>
  </si>
  <si>
    <t xml:space="preserve">Candidates measured not better -&gt; 'Working config kept', with a reason.</t>
  </si>
  <si>
    <t xml:space="preserve">Passed Oct 9: tried 512 seqs / bigger batch, both slower -&gt; kept</t>
  </si>
  <si>
    <t xml:space="preserve">Seen on already-fast runs (tests 4, 8, 21): candidates measured slower -&gt; working config kept.</t>
  </si>
  <si>
    <t xml:space="preserve">recordings/T23_opt_already_fast.json</t>
  </si>
  <si>
    <t xml:space="preserve">Slow config: too few requests at once</t>
  </si>
  <si>
    <t xml:space="preserve">{"max_num_seqs": 8, "max_model_len": 4096}</t>
  </si>
  <si>
    <t xml:space="preserve">Headline: big verified gain</t>
  </si>
  <si>
    <t xml:space="preserve">Lightning proposes more requests at once; several x throughput, verified.</t>
  </si>
  <si>
    <t xml:space="preserve">Passed Oct 9: 1,168 -&gt; 4,814 tok/s (4.1x)</t>
  </si>
  <si>
    <t xml:space="preserve">1,239 -&gt; 5,308 tok/s (4.3x), verified. One change: max_num_seqs 8 -&gt; 64.</t>
  </si>
  <si>
    <t xml:space="preserve">recordings/T24_opt_4x.json</t>
  </si>
  <si>
    <t xml:space="preserve">Slow config: CUDA graphs off (user setting)</t>
  </si>
  <si>
    <t xml:space="preserve">{"enforce_eager": true}</t>
  </si>
  <si>
    <t xml:space="preserve">Optimizer may remove a slow user setting</t>
  </si>
  <si>
    <t xml:space="preserve">enforce_eager removed; 1-user latency drops (~30 -&gt; ~6 ms/token) and throughput rises.</t>
  </si>
  <si>
    <t xml:space="preserve">New - not run yet</t>
  </si>
  <si>
    <t xml:space="preserve">0.5B: enforce_eager removed -&gt; 1,621 -&gt; 5,483 tok/s (3.4x), latency 30.6 -&gt; 5.7 ms. (Phi variant: kept - lower latency but not more throughput.)</t>
  </si>
  <si>
    <t xml:space="preserve">recordings/T25_opt_eager_3x.json</t>
  </si>
  <si>
    <t xml:space="preserve">Slow config: low memory on a bigger model</t>
  </si>
  <si>
    <t xml:space="preserve">{"gpu_memory_utilization": 0.6, "max_model_len": 4096}</t>
  </si>
  <si>
    <t xml:space="preserve">KV-cache bound model</t>
  </si>
  <si>
    <t xml:space="preserve">Memory use raised; more requests fit and/or more context; verified gain.</t>
  </si>
  <si>
    <t xml:space="preserve">0.6 failed first -&gt; fix 0.8. Optimize: 0.9 and bigger batches not faster -&gt; kept (Phi is compute-bound).</t>
  </si>
  <si>
    <t xml:space="preserve">recordings/T26_opt_phi_low_memory.json</t>
  </si>
  <si>
    <t xml:space="preserve">Slow config: 7B model throttled</t>
  </si>
  <si>
    <t xml:space="preserve">Qwen/Qwen2.5-7B-Instruct-AWQ</t>
  </si>
  <si>
    <t xml:space="preserve">{"gpu_memory_utilization": 0.75, "max_num_seqs": 16}</t>
  </si>
  <si>
    <t xml:space="preserve">Big gain on a real 7B model</t>
  </si>
  <si>
    <t xml:space="preserve">64+ requests at once and more memory; several x throughput, verified. Strong demo candidate.</t>
  </si>
  <si>
    <t xml:space="preserve">7B AWQ: 451 -&gt; 914 tok/s (2.0x), verified; max_num_seqs 16 -&gt; 64.</t>
  </si>
  <si>
    <t xml:space="preserve">recordings/T27_opt_7b_2x.json</t>
  </si>
  <si>
    <t xml:space="preserve">Slow config: tiny batches and short context</t>
  </si>
  <si>
    <t xml:space="preserve">{"max_num_batched_tokens": 1024, "max_model_len": 1024}</t>
  </si>
  <si>
    <t xml:space="preserve">Batch size + context</t>
  </si>
  <si>
    <t xml:space="preserve">Larger batches and context; throughput and/or context gain, verified.</t>
  </si>
  <si>
    <t xml:space="preserve">Already at full speed (5,331 tok/s); Lightning reply cut off -&gt; Ultra: already best -&gt; kept.</t>
  </si>
  <si>
    <t xml:space="preserve">recordings/T28_opt_tiny_batches.json</t>
  </si>
  <si>
    <t xml:space="preserve">Context set far below what fits</t>
  </si>
  <si>
    <t xml:space="preserve">{"max_model_len": 2048}</t>
  </si>
  <si>
    <t xml:space="preserve">'Same speed, more context' path</t>
  </si>
  <si>
    <t xml:space="preserve">Context raised towards the KV-cache limit (~13,000) at about the same speed.</t>
  </si>
  <si>
    <t xml:space="preserve">13,700 context tried: latency up &gt;20% -&gt; rejected by guard; kept. Context gain shown in test 22.</t>
  </si>
  <si>
    <t xml:space="preserve">recordings/T29_opt_short_context.json</t>
  </si>
  <si>
    <t xml:space="preserve">App</t>
  </si>
  <si>
    <t xml:space="preserve">Recorded runs replay</t>
  </si>
  <si>
    <t xml:space="preserve">(Recorded runs tab)</t>
  </si>
  <si>
    <t xml:space="preserve">-</t>
  </si>
  <si>
    <t xml:space="preserve">Replay without GPU</t>
  </si>
  <si>
    <t xml:space="preserve">All 29 recordings (T01-T29, one per test) play in the Recorded runs tab without a GPU.</t>
  </si>
  <si>
    <t xml:space="preserve">Not run yet (new names)</t>
  </si>
  <si>
    <t xml:space="preserve">Clicked through in the app on Colab (Oct 15): all 29 recordings listed T01-T29; T01, T08, T19 and T24 played step by step with result cards, settings tables, inference.py and the 4.3x before/after table. No errors.</t>
  </si>
  <si>
    <t xml:space="preserve">(replay of T01-T29)</t>
  </si>
  <si>
    <t xml:space="preserve">Notes: blue text = inputs to type into the app. Test 18: rename lessons.json first, otherwise the lesson from test 17 skips the search. Test 20: run the compiler-crash settings, then the same again with the checkbox on. Tests 21-29: press 'Optimize for this GPU' after the run works.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</si>
</sst>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0000FF"/>
      <name val="Courier New"/>
      <family val="0"/>
      <charset val="1"/>
    </font>
    <font>
      <i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6212A"/>
        <bgColor rgb="FF003300"/>
      </patternFill>
    </fill>
    <fill>
      <patternFill patternType="solid">
        <fgColor rgb="FFEEF1F3"/>
        <bgColor rgb="FFEEF0FA"/>
      </patternFill>
    </fill>
    <fill>
      <patternFill patternType="solid">
        <fgColor rgb="FFFFF4C2"/>
        <bgColor rgb="FFF5F5F5"/>
      </patternFill>
    </fill>
    <fill>
      <patternFill patternType="solid">
        <fgColor rgb="FFE3F3F5"/>
        <bgColor rgb="FFEAF5EF"/>
      </patternFill>
    </fill>
    <fill>
      <patternFill patternType="solid">
        <fgColor rgb="FFEEF0FA"/>
        <bgColor rgb="FFEEF1F3"/>
      </patternFill>
    </fill>
    <fill>
      <patternFill patternType="solid">
        <fgColor rgb="FFEAF5EF"/>
        <bgColor rgb="FFEEF1F3"/>
      </patternFill>
    </fill>
    <fill>
      <patternFill patternType="solid">
        <fgColor rgb="FFF5F5F5"/>
        <bgColor rgb="FFEEF1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6212A"/>
          <bgColor rgb="FF000000"/>
        </patternFill>
      </fill>
    </dxf>
    <dxf>
      <fill>
        <patternFill patternType="solid">
          <fgColor rgb="FFE3F3F5"/>
          <bgColor rgb="FF000000"/>
        </patternFill>
      </fill>
    </dxf>
    <dxf>
      <fill>
        <patternFill patternType="solid">
          <fgColor rgb="FFEAF5EF"/>
          <bgColor rgb="FF000000"/>
        </patternFill>
      </fill>
    </dxf>
    <dxf>
      <fill>
        <patternFill patternType="solid">
          <fgColor rgb="FFEEF0FA"/>
          <bgColor rgb="FF000000"/>
        </patternFill>
      </fill>
    </dxf>
    <dxf>
      <fill>
        <patternFill patternType="solid">
          <fgColor rgb="FFEEF1F3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1D7A5A"/>
          <bgColor rgb="FF000000"/>
        </patternFill>
      </fill>
    </dxf>
    <dxf>
      <fill>
        <patternFill patternType="solid">
          <fgColor rgb="FFFFF4C2"/>
          <bgColor rgb="FF000000"/>
        </patternFill>
      </fill>
    </dxf>
    <dxf>
      <font>
        <name val="Arial"/>
        <charset val="1"/>
        <family val="0"/>
        <b val="1"/>
        <color rgb="FF1D7A5A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B43F2E"/>
      </font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7A5A"/>
      <rgbColor rgb="FFEEF1F3"/>
      <rgbColor rgb="FF808080"/>
      <rgbColor rgb="FF9999FF"/>
      <rgbColor rgb="FF993366"/>
      <rgbColor rgb="FFFFF4C2"/>
      <rgbColor rgb="FFE3F3F5"/>
      <rgbColor rgb="FF660066"/>
      <rgbColor rgb="FFFF8080"/>
      <rgbColor rgb="FF0066CC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5EF"/>
      <rgbColor rgb="FFC6EFCE"/>
      <rgbColor rgb="FFF5F5F5"/>
      <rgbColor rgb="FFEEF0FA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3F2E"/>
      <rgbColor rgb="FF993366"/>
      <rgbColor rgb="FF333399"/>
      <rgbColor rgb="FF1621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4" min="3" style="1" width="30"/>
    <col collapsed="false" customWidth="true" hidden="false" outlineLevel="0" max="5" min="5" style="1" width="34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26"/>
    <col collapsed="false" customWidth="true" hidden="false" outlineLevel="0" max="10" min="10" style="1" width="44"/>
    <col collapsed="false" customWidth="true" hidden="false" outlineLevel="0" max="11" min="11" style="1" width="26"/>
    <col collapsed="false" customWidth="true" hidden="false" outlineLevel="0" max="12" min="12" style="1" width="10"/>
    <col collapsed="false" customWidth="true" hidden="false" outlineLevel="0" max="13" min="13" style="1" width="36"/>
    <col collapsed="false" customWidth="true" hidden="false" outlineLevel="0" max="14" min="14" style="1" width="20"/>
    <col collapsed="false" customWidth="true" hidden="false" outlineLevel="0" max="15" min="15" style="1" width="12"/>
  </cols>
  <sheetData>
    <row r="1" customFormat="false" ht="17.25" hidden="false" customHeight="true" outlineLevel="0" collapsed="false">
      <c r="A1" s="2" t="s">
        <v>0</v>
      </c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5" t="n">
        <f aca="false">COUNTA(C6:C35)</f>
        <v>30</v>
      </c>
      <c r="C3" s="4" t="s">
        <v>3</v>
      </c>
      <c r="D3" s="5" t="n">
        <f aca="false">COUNTIF(L6:L35,"Pass")</f>
        <v>30</v>
      </c>
      <c r="E3" s="4" t="s">
        <v>4</v>
      </c>
      <c r="F3" s="5" t="n">
        <f aca="false">COUNTIF(L6:L35,"Fail")</f>
        <v>0</v>
      </c>
      <c r="G3" s="4" t="s">
        <v>5</v>
      </c>
      <c r="H3" s="5" t="n">
        <f aca="false">B3-D3-F3</f>
        <v>0</v>
      </c>
    </row>
    <row r="5" customFormat="false" ht="45.75" hidden="false" customHeight="true" outlineLevel="0" collapsed="false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18</v>
      </c>
      <c r="N5" s="6" t="s">
        <v>19</v>
      </c>
      <c r="O5" s="6" t="s">
        <v>20</v>
      </c>
    </row>
    <row r="6" customFormat="false" ht="23.25" hidden="false" customHeight="true" outlineLevel="0" collapsed="false">
      <c r="A6" s="7" t="n">
        <v>1</v>
      </c>
      <c r="B6" s="7" t="s">
        <v>21</v>
      </c>
      <c r="C6" s="7" t="s">
        <v>22</v>
      </c>
      <c r="D6" s="8" t="s">
        <v>23</v>
      </c>
      <c r="E6" s="9"/>
      <c r="F6" s="8"/>
      <c r="G6" s="8" t="s">
        <v>24</v>
      </c>
      <c r="H6" s="8" t="s">
        <v>25</v>
      </c>
      <c r="I6" s="7" t="s">
        <v>26</v>
      </c>
      <c r="J6" s="7" t="s">
        <v>27</v>
      </c>
      <c r="K6" s="7" t="s">
        <v>28</v>
      </c>
      <c r="L6" s="10" t="s">
        <v>29</v>
      </c>
      <c r="M6" s="11" t="s">
        <v>30</v>
      </c>
      <c r="N6" s="11" t="s">
        <v>31</v>
      </c>
      <c r="O6" s="12" t="n">
        <v>46305</v>
      </c>
    </row>
    <row r="7" customFormat="false" ht="34.5" hidden="false" customHeight="true" outlineLevel="0" collapsed="false">
      <c r="A7" s="7" t="n">
        <v>2</v>
      </c>
      <c r="B7" s="7" t="s">
        <v>21</v>
      </c>
      <c r="C7" s="7" t="s">
        <v>32</v>
      </c>
      <c r="D7" s="8" t="s">
        <v>33</v>
      </c>
      <c r="E7" s="9"/>
      <c r="F7" s="8"/>
      <c r="G7" s="8" t="s">
        <v>24</v>
      </c>
      <c r="H7" s="8" t="s">
        <v>25</v>
      </c>
      <c r="I7" s="7" t="s">
        <v>34</v>
      </c>
      <c r="J7" s="7" t="s">
        <v>35</v>
      </c>
      <c r="K7" s="7" t="s">
        <v>36</v>
      </c>
      <c r="L7" s="10" t="s">
        <v>29</v>
      </c>
      <c r="M7" s="11" t="s">
        <v>37</v>
      </c>
      <c r="N7" s="11" t="s">
        <v>38</v>
      </c>
      <c r="O7" s="12" t="n">
        <v>46305</v>
      </c>
    </row>
    <row r="8" customFormat="false" ht="34.5" hidden="false" customHeight="true" outlineLevel="0" collapsed="false">
      <c r="A8" s="7" t="n">
        <v>3</v>
      </c>
      <c r="B8" s="7" t="s">
        <v>21</v>
      </c>
      <c r="C8" s="7" t="s">
        <v>39</v>
      </c>
      <c r="D8" s="8" t="s">
        <v>40</v>
      </c>
      <c r="E8" s="9"/>
      <c r="F8" s="8"/>
      <c r="G8" s="8" t="s">
        <v>24</v>
      </c>
      <c r="H8" s="8" t="s">
        <v>25</v>
      </c>
      <c r="I8" s="7" t="s">
        <v>41</v>
      </c>
      <c r="J8" s="7" t="s">
        <v>42</v>
      </c>
      <c r="K8" s="7" t="s">
        <v>43</v>
      </c>
      <c r="L8" s="10" t="s">
        <v>29</v>
      </c>
      <c r="M8" s="11" t="s">
        <v>44</v>
      </c>
      <c r="N8" s="11" t="s">
        <v>45</v>
      </c>
      <c r="O8" s="12" t="n">
        <v>46305</v>
      </c>
    </row>
    <row r="9" customFormat="false" ht="23.25" hidden="false" customHeight="true" outlineLevel="0" collapsed="false">
      <c r="A9" s="7" t="n">
        <v>4</v>
      </c>
      <c r="B9" s="7" t="s">
        <v>21</v>
      </c>
      <c r="C9" s="7" t="s">
        <v>46</v>
      </c>
      <c r="D9" s="8" t="s">
        <v>23</v>
      </c>
      <c r="E9" s="9" t="s">
        <v>47</v>
      </c>
      <c r="F9" s="8"/>
      <c r="G9" s="8" t="s">
        <v>24</v>
      </c>
      <c r="H9" s="8" t="s">
        <v>25</v>
      </c>
      <c r="I9" s="7" t="s">
        <v>48</v>
      </c>
      <c r="J9" s="7" t="s">
        <v>49</v>
      </c>
      <c r="K9" s="7" t="s">
        <v>50</v>
      </c>
      <c r="L9" s="10" t="s">
        <v>29</v>
      </c>
      <c r="M9" s="11" t="s">
        <v>51</v>
      </c>
      <c r="N9" s="11" t="s">
        <v>52</v>
      </c>
      <c r="O9" s="12" t="n">
        <v>46305</v>
      </c>
    </row>
    <row r="10" customFormat="false" ht="23.25" hidden="false" customHeight="true" outlineLevel="0" collapsed="false">
      <c r="A10" s="7" t="n">
        <v>5</v>
      </c>
      <c r="B10" s="7" t="s">
        <v>21</v>
      </c>
      <c r="C10" s="7" t="s">
        <v>53</v>
      </c>
      <c r="D10" s="8" t="s">
        <v>23</v>
      </c>
      <c r="E10" s="9" t="s">
        <v>54</v>
      </c>
      <c r="F10" s="8"/>
      <c r="G10" s="8" t="s">
        <v>24</v>
      </c>
      <c r="H10" s="8" t="s">
        <v>25</v>
      </c>
      <c r="I10" s="7" t="s">
        <v>48</v>
      </c>
      <c r="J10" s="7" t="s">
        <v>55</v>
      </c>
      <c r="K10" s="7" t="s">
        <v>56</v>
      </c>
      <c r="L10" s="10" t="s">
        <v>29</v>
      </c>
      <c r="M10" s="11" t="s">
        <v>57</v>
      </c>
      <c r="N10" s="11" t="s">
        <v>58</v>
      </c>
      <c r="O10" s="12" t="n">
        <v>46305</v>
      </c>
    </row>
    <row r="11" customFormat="false" ht="23.25" hidden="false" customHeight="true" outlineLevel="0" collapsed="false">
      <c r="A11" s="7" t="n">
        <v>6</v>
      </c>
      <c r="B11" s="7" t="s">
        <v>21</v>
      </c>
      <c r="C11" s="7" t="s">
        <v>59</v>
      </c>
      <c r="D11" s="8" t="s">
        <v>23</v>
      </c>
      <c r="E11" s="9" t="s">
        <v>60</v>
      </c>
      <c r="F11" s="8"/>
      <c r="G11" s="8" t="s">
        <v>24</v>
      </c>
      <c r="H11" s="8" t="s">
        <v>25</v>
      </c>
      <c r="I11" s="7" t="s">
        <v>61</v>
      </c>
      <c r="J11" s="7" t="s">
        <v>62</v>
      </c>
      <c r="K11" s="7" t="s">
        <v>63</v>
      </c>
      <c r="L11" s="10" t="s">
        <v>29</v>
      </c>
      <c r="M11" s="11" t="s">
        <v>64</v>
      </c>
      <c r="N11" s="11" t="s">
        <v>65</v>
      </c>
      <c r="O11" s="12" t="n">
        <v>46305</v>
      </c>
    </row>
    <row r="12" customFormat="false" ht="23.25" hidden="false" customHeight="true" outlineLevel="0" collapsed="false">
      <c r="A12" s="7" t="n">
        <v>7</v>
      </c>
      <c r="B12" s="7" t="s">
        <v>21</v>
      </c>
      <c r="C12" s="7" t="s">
        <v>66</v>
      </c>
      <c r="D12" s="8" t="s">
        <v>23</v>
      </c>
      <c r="E12" s="9" t="s">
        <v>67</v>
      </c>
      <c r="F12" s="8"/>
      <c r="G12" s="8" t="s">
        <v>24</v>
      </c>
      <c r="H12" s="8" t="s">
        <v>25</v>
      </c>
      <c r="I12" s="7" t="s">
        <v>61</v>
      </c>
      <c r="J12" s="7" t="s">
        <v>62</v>
      </c>
      <c r="K12" s="7" t="s">
        <v>68</v>
      </c>
      <c r="L12" s="10" t="s">
        <v>29</v>
      </c>
      <c r="M12" s="11" t="s">
        <v>69</v>
      </c>
      <c r="N12" s="11" t="s">
        <v>70</v>
      </c>
      <c r="O12" s="12" t="n">
        <v>46305</v>
      </c>
    </row>
    <row r="13" customFormat="false" ht="34.5" hidden="false" customHeight="true" outlineLevel="0" collapsed="false">
      <c r="A13" s="7" t="n">
        <v>8</v>
      </c>
      <c r="B13" s="7" t="s">
        <v>21</v>
      </c>
      <c r="C13" s="7" t="s">
        <v>71</v>
      </c>
      <c r="D13" s="8" t="s">
        <v>23</v>
      </c>
      <c r="E13" s="9" t="s">
        <v>72</v>
      </c>
      <c r="F13" s="8"/>
      <c r="G13" s="8" t="s">
        <v>24</v>
      </c>
      <c r="H13" s="8" t="s">
        <v>25</v>
      </c>
      <c r="I13" s="7" t="s">
        <v>73</v>
      </c>
      <c r="J13" s="7" t="s">
        <v>74</v>
      </c>
      <c r="K13" s="7" t="s">
        <v>75</v>
      </c>
      <c r="L13" s="10" t="s">
        <v>29</v>
      </c>
      <c r="M13" s="11" t="s">
        <v>76</v>
      </c>
      <c r="N13" s="11" t="s">
        <v>77</v>
      </c>
      <c r="O13" s="12" t="n">
        <v>46305</v>
      </c>
    </row>
    <row r="14" customFormat="false" ht="23.25" hidden="false" customHeight="true" outlineLevel="0" collapsed="false">
      <c r="A14" s="7" t="n">
        <v>9</v>
      </c>
      <c r="B14" s="7" t="s">
        <v>21</v>
      </c>
      <c r="C14" s="7" t="s">
        <v>78</v>
      </c>
      <c r="D14" s="8" t="s">
        <v>23</v>
      </c>
      <c r="E14" s="9" t="s">
        <v>79</v>
      </c>
      <c r="F14" s="8"/>
      <c r="G14" s="8" t="s">
        <v>24</v>
      </c>
      <c r="H14" s="8" t="s">
        <v>25</v>
      </c>
      <c r="I14" s="7" t="s">
        <v>80</v>
      </c>
      <c r="J14" s="7" t="s">
        <v>81</v>
      </c>
      <c r="K14" s="7" t="s">
        <v>50</v>
      </c>
      <c r="L14" s="10" t="s">
        <v>29</v>
      </c>
      <c r="M14" s="11" t="s">
        <v>82</v>
      </c>
      <c r="N14" s="11" t="s">
        <v>83</v>
      </c>
      <c r="O14" s="12" t="n">
        <v>46305</v>
      </c>
    </row>
    <row r="15" customFormat="false" ht="34.5" hidden="false" customHeight="true" outlineLevel="0" collapsed="false">
      <c r="A15" s="7" t="n">
        <v>10</v>
      </c>
      <c r="B15" s="7" t="s">
        <v>21</v>
      </c>
      <c r="C15" s="7" t="s">
        <v>84</v>
      </c>
      <c r="D15" s="8" t="s">
        <v>85</v>
      </c>
      <c r="E15" s="9"/>
      <c r="F15" s="8" t="s">
        <v>86</v>
      </c>
      <c r="G15" s="8" t="s">
        <v>24</v>
      </c>
      <c r="H15" s="8" t="s">
        <v>25</v>
      </c>
      <c r="I15" s="7" t="s">
        <v>87</v>
      </c>
      <c r="J15" s="7" t="s">
        <v>88</v>
      </c>
      <c r="K15" s="7" t="s">
        <v>89</v>
      </c>
      <c r="L15" s="10" t="s">
        <v>29</v>
      </c>
      <c r="M15" s="11" t="s">
        <v>90</v>
      </c>
      <c r="N15" s="11" t="s">
        <v>91</v>
      </c>
      <c r="O15" s="12" t="n">
        <v>46305</v>
      </c>
    </row>
    <row r="16" customFormat="false" ht="23.25" hidden="false" customHeight="true" outlineLevel="0" collapsed="false">
      <c r="A16" s="7" t="n">
        <v>11</v>
      </c>
      <c r="B16" s="7" t="s">
        <v>21</v>
      </c>
      <c r="C16" s="7" t="s">
        <v>92</v>
      </c>
      <c r="D16" s="8" t="s">
        <v>93</v>
      </c>
      <c r="E16" s="9"/>
      <c r="F16" s="8"/>
      <c r="G16" s="8" t="s">
        <v>24</v>
      </c>
      <c r="H16" s="8" t="s">
        <v>25</v>
      </c>
      <c r="I16" s="7" t="s">
        <v>94</v>
      </c>
      <c r="J16" s="7" t="s">
        <v>95</v>
      </c>
      <c r="K16" s="7" t="s">
        <v>96</v>
      </c>
      <c r="L16" s="10" t="s">
        <v>29</v>
      </c>
      <c r="M16" s="11" t="s">
        <v>97</v>
      </c>
      <c r="N16" s="11" t="s">
        <v>98</v>
      </c>
      <c r="O16" s="12" t="n">
        <v>46305</v>
      </c>
    </row>
    <row r="17" customFormat="false" ht="23.25" hidden="false" customHeight="true" outlineLevel="0" collapsed="false">
      <c r="A17" s="7" t="n">
        <v>12</v>
      </c>
      <c r="B17" s="7" t="s">
        <v>21</v>
      </c>
      <c r="C17" s="7" t="s">
        <v>99</v>
      </c>
      <c r="D17" s="8" t="s">
        <v>23</v>
      </c>
      <c r="E17" s="9" t="s">
        <v>100</v>
      </c>
      <c r="F17" s="8"/>
      <c r="G17" s="8" t="s">
        <v>24</v>
      </c>
      <c r="H17" s="8" t="s">
        <v>25</v>
      </c>
      <c r="I17" s="7" t="s">
        <v>101</v>
      </c>
      <c r="J17" s="7" t="s">
        <v>102</v>
      </c>
      <c r="K17" s="7" t="s">
        <v>103</v>
      </c>
      <c r="L17" s="10" t="s">
        <v>29</v>
      </c>
      <c r="M17" s="11" t="s">
        <v>104</v>
      </c>
      <c r="N17" s="11" t="s">
        <v>105</v>
      </c>
      <c r="O17" s="12" t="n">
        <v>46305</v>
      </c>
    </row>
    <row r="18" customFormat="false" ht="23.25" hidden="false" customHeight="true" outlineLevel="0" collapsed="false">
      <c r="A18" s="7" t="n">
        <v>13</v>
      </c>
      <c r="B18" s="7" t="s">
        <v>21</v>
      </c>
      <c r="C18" s="7" t="s">
        <v>106</v>
      </c>
      <c r="D18" s="8" t="s">
        <v>23</v>
      </c>
      <c r="E18" s="9" t="s">
        <v>107</v>
      </c>
      <c r="F18" s="8"/>
      <c r="G18" s="8" t="s">
        <v>24</v>
      </c>
      <c r="H18" s="8" t="s">
        <v>25</v>
      </c>
      <c r="I18" s="7" t="s">
        <v>108</v>
      </c>
      <c r="J18" s="7" t="s">
        <v>109</v>
      </c>
      <c r="K18" s="7" t="s">
        <v>110</v>
      </c>
      <c r="L18" s="10" t="s">
        <v>29</v>
      </c>
      <c r="M18" s="11" t="s">
        <v>111</v>
      </c>
      <c r="N18" s="11" t="s">
        <v>112</v>
      </c>
      <c r="O18" s="12" t="n">
        <v>46305</v>
      </c>
    </row>
    <row r="19" customFormat="false" ht="23.25" hidden="false" customHeight="true" outlineLevel="0" collapsed="false">
      <c r="A19" s="13" t="n">
        <v>14</v>
      </c>
      <c r="B19" s="13" t="s">
        <v>113</v>
      </c>
      <c r="C19" s="13" t="s">
        <v>114</v>
      </c>
      <c r="D19" s="14" t="s">
        <v>115</v>
      </c>
      <c r="E19" s="15"/>
      <c r="F19" s="14"/>
      <c r="G19" s="14" t="s">
        <v>24</v>
      </c>
      <c r="H19" s="14" t="s">
        <v>25</v>
      </c>
      <c r="I19" s="13" t="s">
        <v>116</v>
      </c>
      <c r="J19" s="13" t="s">
        <v>117</v>
      </c>
      <c r="K19" s="13" t="s">
        <v>118</v>
      </c>
      <c r="L19" s="10" t="s">
        <v>29</v>
      </c>
      <c r="M19" s="11" t="s">
        <v>119</v>
      </c>
      <c r="N19" s="11" t="s">
        <v>120</v>
      </c>
      <c r="O19" s="12" t="n">
        <v>46305</v>
      </c>
    </row>
    <row r="20" customFormat="false" ht="34.5" hidden="false" customHeight="true" outlineLevel="0" collapsed="false">
      <c r="A20" s="13" t="n">
        <v>15</v>
      </c>
      <c r="B20" s="13" t="s">
        <v>113</v>
      </c>
      <c r="C20" s="13" t="s">
        <v>121</v>
      </c>
      <c r="D20" s="14" t="s">
        <v>122</v>
      </c>
      <c r="E20" s="15"/>
      <c r="F20" s="14"/>
      <c r="G20" s="14" t="s">
        <v>24</v>
      </c>
      <c r="H20" s="14" t="s">
        <v>25</v>
      </c>
      <c r="I20" s="13" t="s">
        <v>123</v>
      </c>
      <c r="J20" s="13" t="s">
        <v>124</v>
      </c>
      <c r="K20" s="13" t="s">
        <v>125</v>
      </c>
      <c r="L20" s="10" t="s">
        <v>29</v>
      </c>
      <c r="M20" s="11" t="s">
        <v>126</v>
      </c>
      <c r="N20" s="11" t="s">
        <v>127</v>
      </c>
      <c r="O20" s="12" t="n">
        <v>46305</v>
      </c>
    </row>
    <row r="21" customFormat="false" ht="23.25" hidden="false" customHeight="true" outlineLevel="0" collapsed="false">
      <c r="A21" s="13" t="n">
        <v>16</v>
      </c>
      <c r="B21" s="13" t="s">
        <v>113</v>
      </c>
      <c r="C21" s="13" t="s">
        <v>128</v>
      </c>
      <c r="D21" s="14" t="s">
        <v>122</v>
      </c>
      <c r="E21" s="15" t="s">
        <v>129</v>
      </c>
      <c r="F21" s="14"/>
      <c r="G21" s="14" t="s">
        <v>24</v>
      </c>
      <c r="H21" s="14" t="s">
        <v>25</v>
      </c>
      <c r="I21" s="13" t="s">
        <v>130</v>
      </c>
      <c r="J21" s="13" t="s">
        <v>131</v>
      </c>
      <c r="K21" s="13" t="s">
        <v>5</v>
      </c>
      <c r="L21" s="10" t="s">
        <v>29</v>
      </c>
      <c r="M21" s="11" t="s">
        <v>132</v>
      </c>
      <c r="N21" s="11" t="s">
        <v>133</v>
      </c>
      <c r="O21" s="12" t="n">
        <v>46305</v>
      </c>
    </row>
    <row r="22" customFormat="false" ht="23.25" hidden="false" customHeight="true" outlineLevel="0" collapsed="false">
      <c r="A22" s="13" t="n">
        <v>17</v>
      </c>
      <c r="B22" s="13" t="s">
        <v>113</v>
      </c>
      <c r="C22" s="13" t="s">
        <v>134</v>
      </c>
      <c r="D22" s="14" t="s">
        <v>23</v>
      </c>
      <c r="E22" s="15" t="s">
        <v>135</v>
      </c>
      <c r="F22" s="14"/>
      <c r="G22" s="14" t="s">
        <v>24</v>
      </c>
      <c r="H22" s="14" t="s">
        <v>25</v>
      </c>
      <c r="I22" s="13" t="s">
        <v>108</v>
      </c>
      <c r="J22" s="13" t="s">
        <v>136</v>
      </c>
      <c r="K22" s="13" t="s">
        <v>137</v>
      </c>
      <c r="L22" s="10" t="s">
        <v>29</v>
      </c>
      <c r="M22" s="11" t="s">
        <v>138</v>
      </c>
      <c r="N22" s="11" t="s">
        <v>139</v>
      </c>
      <c r="O22" s="12" t="n">
        <v>46305</v>
      </c>
    </row>
    <row r="23" customFormat="false" ht="34.5" hidden="false" customHeight="true" outlineLevel="0" collapsed="false">
      <c r="A23" s="13" t="n">
        <v>18</v>
      </c>
      <c r="B23" s="13" t="s">
        <v>113</v>
      </c>
      <c r="C23" s="13" t="s">
        <v>140</v>
      </c>
      <c r="D23" s="14" t="s">
        <v>23</v>
      </c>
      <c r="E23" s="15" t="s">
        <v>135</v>
      </c>
      <c r="F23" s="14"/>
      <c r="G23" s="14" t="s">
        <v>141</v>
      </c>
      <c r="H23" s="14" t="s">
        <v>25</v>
      </c>
      <c r="I23" s="13" t="s">
        <v>142</v>
      </c>
      <c r="J23" s="13" t="s">
        <v>143</v>
      </c>
      <c r="K23" s="13" t="s">
        <v>144</v>
      </c>
      <c r="L23" s="10" t="s">
        <v>29</v>
      </c>
      <c r="M23" s="11" t="s">
        <v>145</v>
      </c>
      <c r="N23" s="11" t="s">
        <v>146</v>
      </c>
      <c r="O23" s="12" t="n">
        <v>46305</v>
      </c>
    </row>
    <row r="24" customFormat="false" ht="23.25" hidden="false" customHeight="true" outlineLevel="0" collapsed="false">
      <c r="A24" s="13" t="n">
        <v>19</v>
      </c>
      <c r="B24" s="13" t="s">
        <v>113</v>
      </c>
      <c r="C24" s="13" t="s">
        <v>147</v>
      </c>
      <c r="D24" s="14" t="s">
        <v>148</v>
      </c>
      <c r="E24" s="15"/>
      <c r="F24" s="14"/>
      <c r="G24" s="14" t="s">
        <v>24</v>
      </c>
      <c r="H24" s="14" t="s">
        <v>25</v>
      </c>
      <c r="I24" s="13" t="s">
        <v>149</v>
      </c>
      <c r="J24" s="13" t="s">
        <v>150</v>
      </c>
      <c r="K24" s="13" t="s">
        <v>151</v>
      </c>
      <c r="L24" s="10" t="s">
        <v>29</v>
      </c>
      <c r="M24" s="11" t="s">
        <v>152</v>
      </c>
      <c r="N24" s="11" t="s">
        <v>153</v>
      </c>
      <c r="O24" s="12" t="n">
        <v>46305</v>
      </c>
    </row>
    <row r="25" customFormat="false" ht="23.25" hidden="false" customHeight="true" outlineLevel="0" collapsed="false">
      <c r="A25" s="16" t="n">
        <v>20</v>
      </c>
      <c r="B25" s="16" t="s">
        <v>154</v>
      </c>
      <c r="C25" s="16" t="s">
        <v>155</v>
      </c>
      <c r="D25" s="17" t="s">
        <v>23</v>
      </c>
      <c r="E25" s="18" t="s">
        <v>79</v>
      </c>
      <c r="F25" s="17"/>
      <c r="G25" s="17" t="s">
        <v>156</v>
      </c>
      <c r="H25" s="17" t="s">
        <v>25</v>
      </c>
      <c r="I25" s="16" t="s">
        <v>157</v>
      </c>
      <c r="J25" s="16" t="s">
        <v>158</v>
      </c>
      <c r="K25" s="16" t="s">
        <v>159</v>
      </c>
      <c r="L25" s="10" t="s">
        <v>29</v>
      </c>
      <c r="M25" s="11" t="s">
        <v>160</v>
      </c>
      <c r="N25" s="11" t="s">
        <v>161</v>
      </c>
      <c r="O25" s="12" t="n">
        <v>46305</v>
      </c>
    </row>
    <row r="26" customFormat="false" ht="34.5" hidden="false" customHeight="true" outlineLevel="0" collapsed="false">
      <c r="A26" s="19" t="n">
        <v>21</v>
      </c>
      <c r="B26" s="19" t="s">
        <v>162</v>
      </c>
      <c r="C26" s="19" t="s">
        <v>163</v>
      </c>
      <c r="D26" s="20" t="s">
        <v>23</v>
      </c>
      <c r="E26" s="21" t="s">
        <v>100</v>
      </c>
      <c r="F26" s="20"/>
      <c r="G26" s="20" t="s">
        <v>24</v>
      </c>
      <c r="H26" s="20" t="s">
        <v>164</v>
      </c>
      <c r="I26" s="19" t="s">
        <v>165</v>
      </c>
      <c r="J26" s="19" t="s">
        <v>166</v>
      </c>
      <c r="K26" s="19" t="s">
        <v>167</v>
      </c>
      <c r="L26" s="10" t="s">
        <v>29</v>
      </c>
      <c r="M26" s="11" t="s">
        <v>168</v>
      </c>
      <c r="N26" s="11" t="s">
        <v>169</v>
      </c>
      <c r="O26" s="12" t="n">
        <v>46305</v>
      </c>
    </row>
    <row r="27" customFormat="false" ht="34.5" hidden="false" customHeight="true" outlineLevel="0" collapsed="false">
      <c r="A27" s="19" t="n">
        <v>22</v>
      </c>
      <c r="B27" s="19" t="s">
        <v>162</v>
      </c>
      <c r="C27" s="19" t="s">
        <v>170</v>
      </c>
      <c r="D27" s="20" t="s">
        <v>85</v>
      </c>
      <c r="E27" s="21"/>
      <c r="F27" s="20" t="s">
        <v>86</v>
      </c>
      <c r="G27" s="20" t="s">
        <v>24</v>
      </c>
      <c r="H27" s="20" t="s">
        <v>164</v>
      </c>
      <c r="I27" s="19" t="s">
        <v>171</v>
      </c>
      <c r="J27" s="19" t="s">
        <v>172</v>
      </c>
      <c r="K27" s="19" t="s">
        <v>173</v>
      </c>
      <c r="L27" s="10" t="s">
        <v>29</v>
      </c>
      <c r="M27" s="11" t="s">
        <v>174</v>
      </c>
      <c r="N27" s="11" t="s">
        <v>175</v>
      </c>
      <c r="O27" s="12" t="n">
        <v>46305</v>
      </c>
    </row>
    <row r="28" customFormat="false" ht="34.5" hidden="false" customHeight="true" outlineLevel="0" collapsed="false">
      <c r="A28" s="19" t="n">
        <v>23</v>
      </c>
      <c r="B28" s="19" t="s">
        <v>162</v>
      </c>
      <c r="C28" s="19" t="s">
        <v>176</v>
      </c>
      <c r="D28" s="20" t="s">
        <v>23</v>
      </c>
      <c r="E28" s="21"/>
      <c r="F28" s="20"/>
      <c r="G28" s="20" t="s">
        <v>24</v>
      </c>
      <c r="H28" s="20" t="s">
        <v>164</v>
      </c>
      <c r="I28" s="19" t="s">
        <v>177</v>
      </c>
      <c r="J28" s="19" t="s">
        <v>178</v>
      </c>
      <c r="K28" s="19" t="s">
        <v>179</v>
      </c>
      <c r="L28" s="10" t="s">
        <v>29</v>
      </c>
      <c r="M28" s="11" t="s">
        <v>180</v>
      </c>
      <c r="N28" s="11" t="s">
        <v>181</v>
      </c>
      <c r="O28" s="12" t="n">
        <v>46305</v>
      </c>
    </row>
    <row r="29" customFormat="false" ht="23.25" hidden="false" customHeight="true" outlineLevel="0" collapsed="false">
      <c r="A29" s="19" t="n">
        <v>24</v>
      </c>
      <c r="B29" s="19" t="s">
        <v>162</v>
      </c>
      <c r="C29" s="19" t="s">
        <v>182</v>
      </c>
      <c r="D29" s="20" t="s">
        <v>23</v>
      </c>
      <c r="E29" s="21" t="s">
        <v>183</v>
      </c>
      <c r="F29" s="20"/>
      <c r="G29" s="20" t="s">
        <v>24</v>
      </c>
      <c r="H29" s="20" t="s">
        <v>164</v>
      </c>
      <c r="I29" s="19" t="s">
        <v>184</v>
      </c>
      <c r="J29" s="19" t="s">
        <v>185</v>
      </c>
      <c r="K29" s="19" t="s">
        <v>186</v>
      </c>
      <c r="L29" s="10" t="s">
        <v>29</v>
      </c>
      <c r="M29" s="11" t="s">
        <v>187</v>
      </c>
      <c r="N29" s="11" t="s">
        <v>188</v>
      </c>
      <c r="O29" s="12" t="n">
        <v>46305</v>
      </c>
    </row>
    <row r="30" customFormat="false" ht="45.75" hidden="false" customHeight="true" outlineLevel="0" collapsed="false">
      <c r="A30" s="19" t="n">
        <v>25</v>
      </c>
      <c r="B30" s="19" t="s">
        <v>162</v>
      </c>
      <c r="C30" s="19" t="s">
        <v>189</v>
      </c>
      <c r="D30" s="20" t="s">
        <v>23</v>
      </c>
      <c r="E30" s="21" t="s">
        <v>190</v>
      </c>
      <c r="F30" s="20"/>
      <c r="G30" s="20" t="s">
        <v>24</v>
      </c>
      <c r="H30" s="20" t="s">
        <v>164</v>
      </c>
      <c r="I30" s="19" t="s">
        <v>191</v>
      </c>
      <c r="J30" s="19" t="s">
        <v>192</v>
      </c>
      <c r="K30" s="19" t="s">
        <v>193</v>
      </c>
      <c r="L30" s="10" t="s">
        <v>29</v>
      </c>
      <c r="M30" s="11" t="s">
        <v>194</v>
      </c>
      <c r="N30" s="11" t="s">
        <v>195</v>
      </c>
      <c r="O30" s="12" t="n">
        <v>46305</v>
      </c>
    </row>
    <row r="31" customFormat="false" ht="34.5" hidden="false" customHeight="true" outlineLevel="0" collapsed="false">
      <c r="A31" s="19" t="n">
        <v>26</v>
      </c>
      <c r="B31" s="19" t="s">
        <v>162</v>
      </c>
      <c r="C31" s="19" t="s">
        <v>196</v>
      </c>
      <c r="D31" s="20" t="s">
        <v>85</v>
      </c>
      <c r="E31" s="21" t="s">
        <v>197</v>
      </c>
      <c r="F31" s="20"/>
      <c r="G31" s="20" t="s">
        <v>24</v>
      </c>
      <c r="H31" s="20" t="s">
        <v>164</v>
      </c>
      <c r="I31" s="19" t="s">
        <v>198</v>
      </c>
      <c r="J31" s="19" t="s">
        <v>199</v>
      </c>
      <c r="K31" s="19" t="s">
        <v>193</v>
      </c>
      <c r="L31" s="10" t="s">
        <v>29</v>
      </c>
      <c r="M31" s="11" t="s">
        <v>200</v>
      </c>
      <c r="N31" s="11" t="s">
        <v>201</v>
      </c>
      <c r="O31" s="12" t="n">
        <v>46305</v>
      </c>
    </row>
    <row r="32" customFormat="false" ht="23.25" hidden="false" customHeight="true" outlineLevel="0" collapsed="false">
      <c r="A32" s="19" t="n">
        <v>27</v>
      </c>
      <c r="B32" s="19" t="s">
        <v>162</v>
      </c>
      <c r="C32" s="19" t="s">
        <v>202</v>
      </c>
      <c r="D32" s="20" t="s">
        <v>203</v>
      </c>
      <c r="E32" s="21" t="s">
        <v>204</v>
      </c>
      <c r="F32" s="20"/>
      <c r="G32" s="20" t="s">
        <v>24</v>
      </c>
      <c r="H32" s="20" t="s">
        <v>164</v>
      </c>
      <c r="I32" s="19" t="s">
        <v>205</v>
      </c>
      <c r="J32" s="19" t="s">
        <v>206</v>
      </c>
      <c r="K32" s="19" t="s">
        <v>193</v>
      </c>
      <c r="L32" s="10" t="s">
        <v>29</v>
      </c>
      <c r="M32" s="11" t="s">
        <v>207</v>
      </c>
      <c r="N32" s="11" t="s">
        <v>208</v>
      </c>
      <c r="O32" s="12" t="n">
        <v>46305</v>
      </c>
    </row>
    <row r="33" customFormat="false" ht="23.25" hidden="false" customHeight="true" outlineLevel="0" collapsed="false">
      <c r="A33" s="19" t="n">
        <v>28</v>
      </c>
      <c r="B33" s="19" t="s">
        <v>162</v>
      </c>
      <c r="C33" s="19" t="s">
        <v>209</v>
      </c>
      <c r="D33" s="20" t="s">
        <v>23</v>
      </c>
      <c r="E33" s="21" t="s">
        <v>210</v>
      </c>
      <c r="F33" s="20"/>
      <c r="G33" s="20" t="s">
        <v>24</v>
      </c>
      <c r="H33" s="20" t="s">
        <v>164</v>
      </c>
      <c r="I33" s="19" t="s">
        <v>211</v>
      </c>
      <c r="J33" s="19" t="s">
        <v>212</v>
      </c>
      <c r="K33" s="19" t="s">
        <v>193</v>
      </c>
      <c r="L33" s="10" t="s">
        <v>29</v>
      </c>
      <c r="M33" s="11" t="s">
        <v>213</v>
      </c>
      <c r="N33" s="11" t="s">
        <v>214</v>
      </c>
      <c r="O33" s="12" t="n">
        <v>46305</v>
      </c>
    </row>
    <row r="34" customFormat="false" ht="34.5" hidden="false" customHeight="true" outlineLevel="0" collapsed="false">
      <c r="A34" s="19" t="n">
        <v>29</v>
      </c>
      <c r="B34" s="19" t="s">
        <v>162</v>
      </c>
      <c r="C34" s="19" t="s">
        <v>215</v>
      </c>
      <c r="D34" s="20" t="s">
        <v>85</v>
      </c>
      <c r="E34" s="21" t="s">
        <v>216</v>
      </c>
      <c r="F34" s="20"/>
      <c r="G34" s="20" t="s">
        <v>24</v>
      </c>
      <c r="H34" s="20" t="s">
        <v>164</v>
      </c>
      <c r="I34" s="19" t="s">
        <v>217</v>
      </c>
      <c r="J34" s="19" t="s">
        <v>218</v>
      </c>
      <c r="K34" s="19" t="s">
        <v>193</v>
      </c>
      <c r="L34" s="10" t="s">
        <v>29</v>
      </c>
      <c r="M34" s="11" t="s">
        <v>219</v>
      </c>
      <c r="N34" s="11" t="s">
        <v>220</v>
      </c>
      <c r="O34" s="12" t="n">
        <v>46305</v>
      </c>
    </row>
    <row r="35" customFormat="false" ht="23.25" hidden="false" customHeight="true" outlineLevel="0" collapsed="false">
      <c r="A35" s="22" t="n">
        <v>30</v>
      </c>
      <c r="B35" s="22" t="s">
        <v>221</v>
      </c>
      <c r="C35" s="22" t="s">
        <v>222</v>
      </c>
      <c r="D35" s="23" t="s">
        <v>223</v>
      </c>
      <c r="E35" s="24"/>
      <c r="F35" s="23"/>
      <c r="G35" s="23" t="s">
        <v>224</v>
      </c>
      <c r="H35" s="23" t="s">
        <v>224</v>
      </c>
      <c r="I35" s="22" t="s">
        <v>225</v>
      </c>
      <c r="J35" s="22" t="s">
        <v>226</v>
      </c>
      <c r="K35" s="22" t="s">
        <v>227</v>
      </c>
      <c r="L35" s="10" t="s">
        <v>29</v>
      </c>
      <c r="M35" s="11" t="s">
        <v>228</v>
      </c>
      <c r="N35" s="11" t="s">
        <v>229</v>
      </c>
      <c r="O35" s="12" t="n">
        <v>46310</v>
      </c>
    </row>
    <row r="37" customFormat="false" ht="30" hidden="false" customHeight="true" outlineLevel="0" collapsed="false">
      <c r="A37" s="25" t="s">
        <v>230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</row>
  </sheetData>
  <autoFilter ref="A5:O35"/>
  <mergeCells count="2">
    <mergeCell ref="A2:O2"/>
    <mergeCell ref="A37:O37"/>
  </mergeCells>
  <conditionalFormatting sqref="L6:L35">
    <cfRule type="cellIs" priority="2" operator="equal" aboveAverage="0" equalAverage="0" bottom="0" percent="0" rank="0" text="" dxfId="12">
      <formula>"Pass"</formula>
    </cfRule>
    <cfRule type="cellIs" priority="3" operator="equal" aboveAverage="0" equalAverage="0" bottom="0" percent="0" rank="0" text="" dxfId="13">
      <formula>"Fail"</formula>
    </cfRule>
  </conditionalFormatting>
  <dataValidations count="1">
    <dataValidation allowBlank="true" errorStyle="stop" operator="between" showDropDown="false" showErrorMessage="false" showInputMessage="false" sqref="L6:L35" type="list">
      <formula1>"Pass,Fail,Not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2026-10-10T06:38:06Z</dcterms:created>
  <dc:creator>openpyxl</dc:creator>
  <dc:description/>
  <dc:language>en-US</dc:language>
  <cp:lastModifiedBy/>
  <dcterms:modified xsi:type="dcterms:W3CDTF">2026-10-14T20:40:03Z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